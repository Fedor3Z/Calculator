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Учеба\ДГТУ\ПИШ\Проекты\Испытательный стенд_ИРС_Барабан и противорез\Калькулятор\"/>
    </mc:Choice>
  </mc:AlternateContent>
  <xr:revisionPtr revIDLastSave="0" documentId="13_ncr:1_{DB662D22-6C65-46EE-8552-3E607CEDA556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Лист1" sheetId="1" r:id="rId1"/>
  </sheets>
  <definedNames>
    <definedName name="solver_adj" localSheetId="0" hidden="1">Лист1!$C$7,Лист1!$J$7,Лист1!$C$9,Лист1!$J$94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Лист1!$C$7</definedName>
    <definedName name="solver_lhs10" localSheetId="0" hidden="1">Лист1!$J$88</definedName>
    <definedName name="solver_lhs11" localSheetId="0" hidden="1">Лист1!$J$94</definedName>
    <definedName name="solver_lhs12" localSheetId="0" hidden="1">Лист1!$J$94</definedName>
    <definedName name="solver_lhs2" localSheetId="0" hidden="1">Лист1!$C$7</definedName>
    <definedName name="solver_lhs3" localSheetId="0" hidden="1">Лист1!$C$9</definedName>
    <definedName name="solver_lhs4" localSheetId="0" hidden="1">Лист1!$C$9</definedName>
    <definedName name="solver_lhs5" localSheetId="0" hidden="1">Лист1!$J$7</definedName>
    <definedName name="solver_lhs6" localSheetId="0" hidden="1">Лист1!$J$7</definedName>
    <definedName name="solver_lhs7" localSheetId="0" hidden="1">Лист1!$J$76</definedName>
    <definedName name="solver_lhs8" localSheetId="0" hidden="1">Лист1!$J$82</definedName>
    <definedName name="solver_lhs9" localSheetId="0" hidden="1">Лист1!$J$82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12</definedName>
    <definedName name="solver_nwt" localSheetId="0" hidden="1">1</definedName>
    <definedName name="solver_opt" localSheetId="0" hidden="1">Лист1!$J$204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10" localSheetId="0" hidden="1">1</definedName>
    <definedName name="solver_rel11" localSheetId="0" hidden="1">1</definedName>
    <definedName name="solver_rel12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1</definedName>
    <definedName name="solver_rel9" localSheetId="0" hidden="1">3</definedName>
    <definedName name="solver_rhs1" localSheetId="0" hidden="1">Лист1!$E$197</definedName>
    <definedName name="solver_rhs10" localSheetId="0" hidden="1">Лист1!$J$187</definedName>
    <definedName name="solver_rhs11" localSheetId="0" hidden="1">Лист1!$J$197</definedName>
    <definedName name="solver_rhs12" localSheetId="0" hidden="1">Лист1!$J$195</definedName>
    <definedName name="solver_rhs2" localSheetId="0" hidden="1">Лист1!$E$195</definedName>
    <definedName name="solver_rhs3" localSheetId="0" hidden="1">Лист1!$E$193</definedName>
    <definedName name="solver_rhs4" localSheetId="0" hidden="1">Лист1!$E$191</definedName>
    <definedName name="solver_rhs5" localSheetId="0" hidden="1">Лист1!$J$193</definedName>
    <definedName name="solver_rhs6" localSheetId="0" hidden="1">Лист1!$J$191</definedName>
    <definedName name="solver_rhs7" localSheetId="0" hidden="1">Лист1!$J$77</definedName>
    <definedName name="solver_rhs8" localSheetId="0" hidden="1">Лист1!$J$187</definedName>
    <definedName name="solver_rhs9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1" l="1"/>
  <c r="J64" i="1" s="1"/>
  <c r="J77" i="1" s="1"/>
  <c r="H38" i="1"/>
  <c r="H45" i="1" s="1"/>
  <c r="H52" i="1" s="1"/>
  <c r="S38" i="1"/>
  <c r="T168" i="1" s="1"/>
  <c r="T178" i="1" s="1"/>
  <c r="U76" i="1" l="1"/>
  <c r="V82" i="1" s="1"/>
  <c r="J88" i="1"/>
  <c r="J82" i="1"/>
  <c r="T49" i="1"/>
  <c r="O106" i="1"/>
  <c r="O109" i="1"/>
  <c r="P109" i="1" s="1"/>
  <c r="P106" i="1"/>
  <c r="O110" i="1"/>
  <c r="P110" i="1" s="1"/>
  <c r="O113" i="1"/>
  <c r="P113" i="1" s="1"/>
  <c r="O116" i="1"/>
  <c r="O108" i="1"/>
  <c r="J70" i="1"/>
  <c r="O115" i="1"/>
  <c r="P115" i="1" s="1"/>
  <c r="O107" i="1"/>
  <c r="P107" i="1" s="1"/>
  <c r="H127" i="1"/>
  <c r="O112" i="1"/>
  <c r="O111" i="1"/>
  <c r="P111" i="1" s="1"/>
  <c r="O114" i="1"/>
  <c r="J132" i="1" l="1"/>
  <c r="J76" i="1"/>
  <c r="V88" i="1"/>
  <c r="V94" i="1" s="1"/>
  <c r="P112" i="1"/>
  <c r="P116" i="1"/>
  <c r="P114" i="1"/>
  <c r="P108" i="1"/>
  <c r="L141" i="1" l="1"/>
  <c r="J204" i="1" s="1"/>
  <c r="J169" i="1" l="1"/>
  <c r="J100" i="1"/>
  <c r="J122" i="1"/>
  <c r="Q116" i="1" l="1"/>
  <c r="Q109" i="1"/>
  <c r="Q106" i="1"/>
  <c r="Q107" i="1"/>
  <c r="Q111" i="1"/>
  <c r="Q110" i="1"/>
  <c r="Q115" i="1"/>
  <c r="Q113" i="1"/>
  <c r="Q108" i="1"/>
  <c r="Q112" i="1"/>
  <c r="Q114" i="1"/>
</calcChain>
</file>

<file path=xl/sharedStrings.xml><?xml version="1.0" encoding="utf-8"?>
<sst xmlns="http://schemas.openxmlformats.org/spreadsheetml/2006/main" count="155" uniqueCount="111">
  <si>
    <t>Расчет кинематики и системы нагружения</t>
  </si>
  <si>
    <t>Исходные данные:</t>
  </si>
  <si>
    <t xml:space="preserve">D1 = </t>
  </si>
  <si>
    <t>мм</t>
  </si>
  <si>
    <t xml:space="preserve">n1 = </t>
  </si>
  <si>
    <t>об/мин</t>
  </si>
  <si>
    <r>
      <rPr>
        <sz val="14"/>
        <color theme="1"/>
        <rFont val="Calibri"/>
        <family val="2"/>
        <charset val="204"/>
      </rPr>
      <t>υ</t>
    </r>
    <r>
      <rPr>
        <sz val="14"/>
        <color theme="1"/>
        <rFont val="Times New Roman"/>
        <family val="1"/>
        <charset val="204"/>
      </rPr>
      <t xml:space="preserve"> = </t>
    </r>
  </si>
  <si>
    <t>1. Линейная скорость ремня υ, м/с:</t>
  </si>
  <si>
    <t>2. Окружная сила ремня Fc, Н:</t>
  </si>
  <si>
    <t xml:space="preserve">P = </t>
  </si>
  <si>
    <t>кВт</t>
  </si>
  <si>
    <t xml:space="preserve">Fc = </t>
  </si>
  <si>
    <t>м/с</t>
  </si>
  <si>
    <t>Н</t>
  </si>
  <si>
    <t>3. Крутящий момент на ведущем шкиве M1, Нм:</t>
  </si>
  <si>
    <t xml:space="preserve">M1 = </t>
  </si>
  <si>
    <t>Нм</t>
  </si>
  <si>
    <r>
      <rPr>
        <sz val="14"/>
        <color theme="1"/>
        <rFont val="Calibri"/>
        <family val="2"/>
        <charset val="204"/>
      </rPr>
      <t>μ</t>
    </r>
    <r>
      <rPr>
        <sz val="14"/>
        <color theme="1"/>
        <rFont val="Times New Roman"/>
        <family val="1"/>
        <charset val="204"/>
      </rPr>
      <t xml:space="preserve"> = </t>
    </r>
  </si>
  <si>
    <t xml:space="preserve">D2 = </t>
  </si>
  <si>
    <t xml:space="preserve">L = </t>
  </si>
  <si>
    <t>4. Межцентровое расстояние e, мм:</t>
  </si>
  <si>
    <t xml:space="preserve">e = </t>
  </si>
  <si>
    <r>
      <t xml:space="preserve">5. Угол охвата малого шкива </t>
    </r>
    <r>
      <rPr>
        <sz val="14"/>
        <color theme="1"/>
        <rFont val="Calibri"/>
        <family val="2"/>
        <charset val="204"/>
      </rPr>
      <t>φs, рад:</t>
    </r>
  </si>
  <si>
    <t xml:space="preserve">φs = </t>
  </si>
  <si>
    <t>рад</t>
  </si>
  <si>
    <r>
      <t xml:space="preserve">6. Угол охвата большого шкива </t>
    </r>
    <r>
      <rPr>
        <sz val="14"/>
        <color theme="1"/>
        <rFont val="Calibri"/>
        <family val="2"/>
        <charset val="204"/>
      </rPr>
      <t>φl, рад:</t>
    </r>
  </si>
  <si>
    <t xml:space="preserve">φl = </t>
  </si>
  <si>
    <t>7. Отношение натяжений ремня TR:</t>
  </si>
  <si>
    <t xml:space="preserve">TR = </t>
  </si>
  <si>
    <t>8. Натяжение в тянущей ветви Ts, Н:</t>
  </si>
  <si>
    <t xml:space="preserve">Ts = </t>
  </si>
  <si>
    <t>9. Натяжение в слабой ветви Tt, Н:</t>
  </si>
  <si>
    <t xml:space="preserve">Tt = </t>
  </si>
  <si>
    <t>10. Преднатяжение Fр, Н:</t>
  </si>
  <si>
    <t xml:space="preserve">Fр = </t>
  </si>
  <si>
    <t>kрем =</t>
  </si>
  <si>
    <t>Н/мм</t>
  </si>
  <si>
    <r>
      <t xml:space="preserve">11. Требуемое удлинение ремня </t>
    </r>
    <r>
      <rPr>
        <sz val="14"/>
        <color theme="1"/>
        <rFont val="Calibri"/>
        <family val="2"/>
        <charset val="204"/>
      </rPr>
      <t>ΔLтреб, мм:</t>
    </r>
  </si>
  <si>
    <t>k - доля пролета от ведущего шкива;</t>
  </si>
  <si>
    <t>а - расстояние от ведущего шкива до ролика, мм;</t>
  </si>
  <si>
    <t>b - расстояние от ролика до ведомого шкива, мм;</t>
  </si>
  <si>
    <t>12. Требуемый подъем ролика s, мм:</t>
  </si>
  <si>
    <t>k</t>
  </si>
  <si>
    <t>a</t>
  </si>
  <si>
    <t>b</t>
  </si>
  <si>
    <t>s</t>
  </si>
  <si>
    <r>
      <t>F</t>
    </r>
    <r>
      <rPr>
        <sz val="11"/>
        <color theme="1"/>
        <rFont val="Times New Roman"/>
        <family val="1"/>
        <charset val="204"/>
      </rPr>
      <t>пров</t>
    </r>
    <r>
      <rPr>
        <sz val="14"/>
        <color theme="1"/>
        <rFont val="Times New Roman"/>
        <family val="1"/>
        <charset val="204"/>
      </rPr>
      <t xml:space="preserve"> =</t>
    </r>
  </si>
  <si>
    <r>
      <t xml:space="preserve">13. Расчетный прогиб при установленном преднатяжении Fр на середине натянутой ветви </t>
    </r>
    <r>
      <rPr>
        <sz val="14"/>
        <color theme="1"/>
        <rFont val="Calibri"/>
        <family val="2"/>
        <charset val="204"/>
      </rPr>
      <t>δ</t>
    </r>
    <r>
      <rPr>
        <sz val="14"/>
        <color theme="1"/>
        <rFont val="Times New Roman"/>
        <family val="1"/>
        <charset val="204"/>
      </rPr>
      <t>, мм:</t>
    </r>
  </si>
  <si>
    <t xml:space="preserve">δ = </t>
  </si>
  <si>
    <t>14. Измеренный прогиб δизм, мм:</t>
  </si>
  <si>
    <t>15. Фактическое преднатяжение Tфакт, Н:</t>
  </si>
  <si>
    <t>3.1 Крутящий момент на ведомом шкиве M2, Нм:</t>
  </si>
  <si>
    <t>16. Радиальная нагрузка на валу ведущего шкива Qточн, Н:</t>
  </si>
  <si>
    <r>
      <t>Q</t>
    </r>
    <r>
      <rPr>
        <sz val="10"/>
        <color theme="1"/>
        <rFont val="Times New Roman"/>
        <family val="1"/>
        <charset val="204"/>
      </rPr>
      <t>точн</t>
    </r>
    <r>
      <rPr>
        <sz val="14"/>
        <color theme="1"/>
        <rFont val="Times New Roman"/>
        <family val="1"/>
        <charset val="204"/>
      </rPr>
      <t xml:space="preserve"> =</t>
    </r>
  </si>
  <si>
    <t>1.1 Частота вращения ведомого шкива n2, об/мин:</t>
  </si>
  <si>
    <t xml:space="preserve">n2 = </t>
  </si>
  <si>
    <t xml:space="preserve">Q' = </t>
  </si>
  <si>
    <t xml:space="preserve">M' = </t>
  </si>
  <si>
    <t>град</t>
  </si>
  <si>
    <t>β =</t>
  </si>
  <si>
    <t>17. Требуемая внешняя радиальная сила, компенсирующая недостаток нагрузки по сравнению с эксплуатационным режимом, F, Н:</t>
  </si>
  <si>
    <t xml:space="preserve">F = </t>
  </si>
  <si>
    <t xml:space="preserve">L1 = </t>
  </si>
  <si>
    <t xml:space="preserve">L2 = </t>
  </si>
  <si>
    <t>кг</t>
  </si>
  <si>
    <t>18. Вес груза для нагружения вала G, кг:</t>
  </si>
  <si>
    <t xml:space="preserve">G = </t>
  </si>
  <si>
    <r>
      <t>ΔL</t>
    </r>
    <r>
      <rPr>
        <sz val="8"/>
        <color theme="1"/>
        <rFont val="Times New Roman"/>
        <family val="1"/>
        <charset val="204"/>
      </rPr>
      <t>треб</t>
    </r>
    <r>
      <rPr>
        <sz val="14"/>
        <color theme="1"/>
        <rFont val="Times New Roman"/>
        <family val="1"/>
        <charset val="204"/>
      </rPr>
      <t xml:space="preserve"> =</t>
    </r>
  </si>
  <si>
    <t xml:space="preserve">b1 = </t>
  </si>
  <si>
    <t xml:space="preserve">b2 = </t>
  </si>
  <si>
    <t xml:space="preserve">s2 = </t>
  </si>
  <si>
    <t xml:space="preserve">s3 = </t>
  </si>
  <si>
    <t xml:space="preserve">s4 = </t>
  </si>
  <si>
    <t xml:space="preserve">Se = </t>
  </si>
  <si>
    <t xml:space="preserve">σв = </t>
  </si>
  <si>
    <t xml:space="preserve">ks = </t>
  </si>
  <si>
    <t xml:space="preserve">kr = </t>
  </si>
  <si>
    <t xml:space="preserve">kt = </t>
  </si>
  <si>
    <t xml:space="preserve">krel = </t>
  </si>
  <si>
    <t xml:space="preserve">kf = </t>
  </si>
  <si>
    <t>МПа</t>
  </si>
  <si>
    <t>19. Оптимизация параметров:</t>
  </si>
  <si>
    <t xml:space="preserve">wст = </t>
  </si>
  <si>
    <t xml:space="preserve">wF = </t>
  </si>
  <si>
    <t xml:space="preserve">J = </t>
  </si>
  <si>
    <t xml:space="preserve">Sэл = </t>
  </si>
  <si>
    <t>руб./кВтч</t>
  </si>
  <si>
    <t>руб.</t>
  </si>
  <si>
    <r>
      <t>S</t>
    </r>
    <r>
      <rPr>
        <sz val="12"/>
        <color theme="1"/>
        <rFont val="Times New Roman"/>
        <family val="1"/>
        <charset val="204"/>
      </rPr>
      <t>исп</t>
    </r>
    <r>
      <rPr>
        <sz val="14"/>
        <color theme="1"/>
        <rFont val="Times New Roman"/>
        <family val="1"/>
        <charset val="204"/>
      </rPr>
      <t xml:space="preserve"> = </t>
    </r>
  </si>
  <si>
    <t>20. Стоимость испытаний Sисп, руб.:</t>
  </si>
  <si>
    <t>19. Время испытаний t, ч:</t>
  </si>
  <si>
    <t xml:space="preserve">t = </t>
  </si>
  <si>
    <t>ч</t>
  </si>
  <si>
    <t xml:space="preserve">TRmax = </t>
  </si>
  <si>
    <t xml:space="preserve">Tогранич = </t>
  </si>
  <si>
    <t>19.2 Целевая функция J:</t>
  </si>
  <si>
    <t>19.1 Веса переменных, ограничения:</t>
  </si>
  <si>
    <t xml:space="preserve">n1max = </t>
  </si>
  <si>
    <t xml:space="preserve">n1min = </t>
  </si>
  <si>
    <t xml:space="preserve">D1max = </t>
  </si>
  <si>
    <t xml:space="preserve">D1min = </t>
  </si>
  <si>
    <t xml:space="preserve">D2max = </t>
  </si>
  <si>
    <t xml:space="preserve">D2min = </t>
  </si>
  <si>
    <t xml:space="preserve">Fpmax = </t>
  </si>
  <si>
    <t xml:space="preserve">Fpmin = </t>
  </si>
  <si>
    <t xml:space="preserve">Sнач = </t>
  </si>
  <si>
    <t xml:space="preserve">Fнач = </t>
  </si>
  <si>
    <t>8.1 Необходимое натяжение в тянущей ветви Ts, Н, из условия непроскальзывания:</t>
  </si>
  <si>
    <t>9.1 Необходимое натяжение в слабой ветви Tt, Н, из условия непроскальзывания:</t>
  </si>
  <si>
    <t>10.1 Преднатяжение Fp, Н, из условия непроскальзывания:</t>
  </si>
  <si>
    <t>7.1 Отношение натяжений ремня TR из условия непроскальзывания: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</si>
</sst>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</font>
    <font>
      <sz val="14"/>
      <color theme="1"/>
      <name val="Times New Roman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36</xdr:row>
      <xdr:rowOff>9525</xdr:rowOff>
    </xdr:from>
    <xdr:to>
      <xdr:col>5</xdr:col>
      <xdr:colOff>8108</xdr:colOff>
      <xdr:row>38</xdr:row>
      <xdr:rowOff>200118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3053864-918C-10B8-60F3-F6ABFDAE8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8582025"/>
          <a:ext cx="1886213" cy="666843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43</xdr:row>
      <xdr:rowOff>104775</xdr:rowOff>
    </xdr:from>
    <xdr:to>
      <xdr:col>5</xdr:col>
      <xdr:colOff>131352</xdr:colOff>
      <xdr:row>46</xdr:row>
      <xdr:rowOff>85822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7AF19B5-CE3C-4DB7-74A9-2F908D0B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10344150"/>
          <a:ext cx="1733792" cy="695422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49</xdr:row>
      <xdr:rowOff>209550</xdr:rowOff>
    </xdr:from>
    <xdr:to>
      <xdr:col>5</xdr:col>
      <xdr:colOff>140860</xdr:colOff>
      <xdr:row>53</xdr:row>
      <xdr:rowOff>95367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317F34B-51CD-953E-FAF7-C8EE4D407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" y="11877675"/>
          <a:ext cx="1609950" cy="83831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56</xdr:row>
      <xdr:rowOff>161925</xdr:rowOff>
    </xdr:from>
    <xdr:to>
      <xdr:col>7</xdr:col>
      <xdr:colOff>516593</xdr:colOff>
      <xdr:row>58</xdr:row>
      <xdr:rowOff>168102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C051E4B-B129-1071-B474-956DCCBC7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1" y="13496925"/>
          <a:ext cx="4038600" cy="482427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62</xdr:row>
      <xdr:rowOff>28575</xdr:rowOff>
    </xdr:from>
    <xdr:to>
      <xdr:col>7</xdr:col>
      <xdr:colOff>82760</xdr:colOff>
      <xdr:row>64</xdr:row>
      <xdr:rowOff>219168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30664A0-6705-55A3-BFA7-1C4845A8B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14792325"/>
          <a:ext cx="2838846" cy="66684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68</xdr:row>
      <xdr:rowOff>57150</xdr:rowOff>
    </xdr:from>
    <xdr:to>
      <xdr:col>7</xdr:col>
      <xdr:colOff>63706</xdr:colOff>
      <xdr:row>71</xdr:row>
      <xdr:rowOff>28671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611011F-F23A-539B-637F-63F55C0A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16249650"/>
          <a:ext cx="2810267" cy="685896"/>
        </a:xfrm>
        <a:prstGeom prst="rect">
          <a:avLst/>
        </a:prstGeom>
      </xdr:spPr>
    </xdr:pic>
    <xdr:clientData/>
  </xdr:twoCellAnchor>
  <xdr:twoCellAnchor editAs="oneCell">
    <xdr:from>
      <xdr:col>15</xdr:col>
      <xdr:colOff>390525</xdr:colOff>
      <xdr:row>73</xdr:row>
      <xdr:rowOff>228600</xdr:rowOff>
    </xdr:from>
    <xdr:to>
      <xdr:col>18</xdr:col>
      <xdr:colOff>285996</xdr:colOff>
      <xdr:row>77</xdr:row>
      <xdr:rowOff>101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EC2225A9-D8E9-BF97-2622-2767BC0EA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3175" y="17611725"/>
          <a:ext cx="1762371" cy="724001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80</xdr:row>
      <xdr:rowOff>0</xdr:rowOff>
    </xdr:from>
    <xdr:to>
      <xdr:col>18</xdr:col>
      <xdr:colOff>495498</xdr:colOff>
      <xdr:row>83</xdr:row>
      <xdr:rowOff>100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110D69F0-6248-399F-CC38-353660256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625" y="19050000"/>
          <a:ext cx="1419423" cy="714475"/>
        </a:xfrm>
        <a:prstGeom prst="rect">
          <a:avLst/>
        </a:prstGeom>
      </xdr:spPr>
    </xdr:pic>
    <xdr:clientData/>
  </xdr:twoCellAnchor>
  <xdr:twoCellAnchor editAs="oneCell">
    <xdr:from>
      <xdr:col>16</xdr:col>
      <xdr:colOff>447675</xdr:colOff>
      <xdr:row>86</xdr:row>
      <xdr:rowOff>190500</xdr:rowOff>
    </xdr:from>
    <xdr:to>
      <xdr:col>18</xdr:col>
      <xdr:colOff>571687</xdr:colOff>
      <xdr:row>88</xdr:row>
      <xdr:rowOff>104830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E3BE163B-8BA1-C4FF-D946-1CAC48864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025" y="20669250"/>
          <a:ext cx="1343212" cy="390580"/>
        </a:xfrm>
        <a:prstGeom prst="rect">
          <a:avLst/>
        </a:prstGeom>
      </xdr:spPr>
    </xdr:pic>
    <xdr:clientData/>
  </xdr:twoCellAnchor>
  <xdr:twoCellAnchor editAs="oneCell">
    <xdr:from>
      <xdr:col>16</xdr:col>
      <xdr:colOff>371475</xdr:colOff>
      <xdr:row>92</xdr:row>
      <xdr:rowOff>57150</xdr:rowOff>
    </xdr:from>
    <xdr:to>
      <xdr:col>18</xdr:col>
      <xdr:colOff>562172</xdr:colOff>
      <xdr:row>95</xdr:row>
      <xdr:rowOff>28671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B26B372B-4F96-0D68-5BF6-E37B2EC26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825" y="21964650"/>
          <a:ext cx="1409897" cy="685896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98</xdr:row>
      <xdr:rowOff>38100</xdr:rowOff>
    </xdr:from>
    <xdr:to>
      <xdr:col>5</xdr:col>
      <xdr:colOff>558824</xdr:colOff>
      <xdr:row>100</xdr:row>
      <xdr:rowOff>228693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A76BB3C0-B5BA-A5F5-71B7-19323E26E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23374350"/>
          <a:ext cx="1514686" cy="666843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120</xdr:row>
      <xdr:rowOff>0</xdr:rowOff>
    </xdr:from>
    <xdr:to>
      <xdr:col>6</xdr:col>
      <xdr:colOff>482612</xdr:colOff>
      <xdr:row>122</xdr:row>
      <xdr:rowOff>142961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117E0ADE-024D-9BBB-D28E-B99C6055E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28575000"/>
          <a:ext cx="1428949" cy="619211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124</xdr:row>
      <xdr:rowOff>0</xdr:rowOff>
    </xdr:from>
    <xdr:to>
      <xdr:col>12</xdr:col>
      <xdr:colOff>150937</xdr:colOff>
      <xdr:row>127</xdr:row>
      <xdr:rowOff>19152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88BEB9D0-D531-8798-D6A7-763028994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29527500"/>
          <a:ext cx="1562318" cy="733527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110</xdr:row>
      <xdr:rowOff>142875</xdr:rowOff>
    </xdr:from>
    <xdr:to>
      <xdr:col>9</xdr:col>
      <xdr:colOff>561675</xdr:colOff>
      <xdr:row>114</xdr:row>
      <xdr:rowOff>113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6A378246-CAF6-2EEA-A639-FBCBCED1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450" y="26336625"/>
          <a:ext cx="1867161" cy="809738"/>
        </a:xfrm>
        <a:prstGeom prst="rect">
          <a:avLst/>
        </a:prstGeom>
      </xdr:spPr>
    </xdr:pic>
    <xdr:clientData/>
  </xdr:twoCellAnchor>
  <xdr:twoCellAnchor editAs="oneCell">
    <xdr:from>
      <xdr:col>2</xdr:col>
      <xdr:colOff>235725</xdr:colOff>
      <xdr:row>110</xdr:row>
      <xdr:rowOff>73800</xdr:rowOff>
    </xdr:from>
    <xdr:to>
      <xdr:col>5</xdr:col>
      <xdr:colOff>591237</xdr:colOff>
      <xdr:row>111</xdr:row>
      <xdr:rowOff>216728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CC7F1316-8FAD-7D52-586B-A90D35763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925" y="26267550"/>
          <a:ext cx="2038635" cy="381053"/>
        </a:xfrm>
        <a:prstGeom prst="rect">
          <a:avLst/>
        </a:prstGeom>
      </xdr:spPr>
    </xdr:pic>
    <xdr:clientData/>
  </xdr:twoCellAnchor>
  <xdr:twoCellAnchor editAs="oneCell">
    <xdr:from>
      <xdr:col>2</xdr:col>
      <xdr:colOff>80925</xdr:colOff>
      <xdr:row>113</xdr:row>
      <xdr:rowOff>42825</xdr:rowOff>
    </xdr:from>
    <xdr:to>
      <xdr:col>6</xdr:col>
      <xdr:colOff>47065</xdr:colOff>
      <xdr:row>114</xdr:row>
      <xdr:rowOff>195280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6A430FA3-86A7-8BEB-E913-2A28B7A3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25" y="26950950"/>
          <a:ext cx="2276793" cy="39058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130</xdr:row>
      <xdr:rowOff>76200</xdr:rowOff>
    </xdr:from>
    <xdr:to>
      <xdr:col>7</xdr:col>
      <xdr:colOff>54812</xdr:colOff>
      <xdr:row>132</xdr:row>
      <xdr:rowOff>123898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B8E76CBA-6F49-97AA-8ECB-9004BF8DA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31032450"/>
          <a:ext cx="3315163" cy="523948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36</xdr:row>
      <xdr:rowOff>19050</xdr:rowOff>
    </xdr:from>
    <xdr:to>
      <xdr:col>15</xdr:col>
      <xdr:colOff>581222</xdr:colOff>
      <xdr:row>39</xdr:row>
      <xdr:rowOff>85834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B82BA133-0223-8CD6-F63C-99DEF4E5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8591550"/>
          <a:ext cx="1419423" cy="781159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50</xdr:row>
      <xdr:rowOff>19050</xdr:rowOff>
    </xdr:from>
    <xdr:to>
      <xdr:col>17</xdr:col>
      <xdr:colOff>533631</xdr:colOff>
      <xdr:row>53</xdr:row>
      <xdr:rowOff>76308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035A76E4-32CD-0A11-DCA1-565E8A19F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11925300"/>
          <a:ext cx="1648055" cy="771633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166</xdr:row>
      <xdr:rowOff>228600</xdr:rowOff>
    </xdr:from>
    <xdr:to>
      <xdr:col>6</xdr:col>
      <xdr:colOff>103502</xdr:colOff>
      <xdr:row>169</xdr:row>
      <xdr:rowOff>200025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3131FE-269E-491F-2F56-AE28CE759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39776400"/>
          <a:ext cx="1995055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04"/>
  <sheetViews>
    <sheetView tabSelected="1" zoomScale="85" zoomScaleNormal="85" zoomScaleSheetLayoutView="85" workbookViewId="0">
      <selection activeCell="O14" sqref="O14"/>
    </sheetView>
  </sheetViews>
  <sheetFormatPr defaultRowHeight="18.75" x14ac:dyDescent="0.3"/>
  <cols>
    <col min="1" max="1" width="9.140625" style="1"/>
    <col min="2" max="2" width="10.85546875" style="1" customWidth="1"/>
    <col min="3" max="3" width="6.5703125" style="1" bestFit="1" customWidth="1"/>
    <col min="4" max="4" width="9.42578125" style="1" bestFit="1" customWidth="1"/>
    <col min="5" max="5" width="9.140625" style="1"/>
    <col min="6" max="6" width="9.42578125" style="1" bestFit="1" customWidth="1"/>
    <col min="7" max="7" width="7.85546875" style="1" bestFit="1" customWidth="1"/>
    <col min="8" max="8" width="10.85546875" style="1" bestFit="1" customWidth="1"/>
    <col min="9" max="9" width="10" style="1" bestFit="1" customWidth="1"/>
    <col min="10" max="10" width="9.85546875" style="1" bestFit="1" customWidth="1"/>
    <col min="11" max="11" width="9.140625" style="1"/>
    <col min="12" max="12" width="11" style="1" bestFit="1" customWidth="1"/>
    <col min="13" max="15" width="9.140625" style="1"/>
    <col min="16" max="16" width="9.7109375" style="1" bestFit="1" customWidth="1"/>
    <col min="17" max="21" width="9.140625" style="1"/>
    <col min="22" max="22" width="9.7109375" style="1" bestFit="1" customWidth="1"/>
    <col min="23" max="16384" width="9.140625" style="1"/>
  </cols>
  <sheetData>
    <row r="2" spans="2:21" x14ac:dyDescent="0.3">
      <c r="C2" s="3"/>
      <c r="D2" s="3"/>
      <c r="E2" s="3"/>
      <c r="F2" s="3"/>
      <c r="G2" s="3"/>
      <c r="J2" s="18" t="s">
        <v>0</v>
      </c>
      <c r="K2" s="18"/>
      <c r="L2" s="18"/>
      <c r="M2" s="18"/>
      <c r="N2" s="18"/>
      <c r="O2" s="18"/>
    </row>
    <row r="5" spans="2:21" x14ac:dyDescent="0.3">
      <c r="B5" s="16" t="s">
        <v>1</v>
      </c>
      <c r="C5" s="16"/>
      <c r="D5" s="16"/>
    </row>
    <row r="7" spans="2:21" x14ac:dyDescent="0.3">
      <c r="B7" s="1" t="s">
        <v>2</v>
      </c>
      <c r="C7" s="2">
        <v>287</v>
      </c>
      <c r="D7" s="2" t="s">
        <v>3</v>
      </c>
      <c r="I7" s="1" t="s">
        <v>18</v>
      </c>
      <c r="J7" s="2">
        <v>185</v>
      </c>
      <c r="K7" s="2" t="s">
        <v>3</v>
      </c>
      <c r="N7" s="1" t="s">
        <v>62</v>
      </c>
      <c r="O7" s="2">
        <v>290</v>
      </c>
      <c r="P7" s="2" t="s">
        <v>3</v>
      </c>
      <c r="S7" s="1" t="s">
        <v>73</v>
      </c>
      <c r="T7" s="2">
        <v>450</v>
      </c>
      <c r="U7" s="2" t="s">
        <v>80</v>
      </c>
    </row>
    <row r="8" spans="2:21" x14ac:dyDescent="0.3">
      <c r="C8" s="2"/>
      <c r="J8" s="2"/>
      <c r="O8" s="2"/>
      <c r="T8" s="2"/>
    </row>
    <row r="9" spans="2:21" x14ac:dyDescent="0.3">
      <c r="B9" s="1" t="s">
        <v>4</v>
      </c>
      <c r="C9" s="2">
        <v>2860</v>
      </c>
      <c r="D9" s="2" t="s">
        <v>5</v>
      </c>
      <c r="I9" s="1" t="s">
        <v>19</v>
      </c>
      <c r="J9" s="2">
        <v>3350</v>
      </c>
      <c r="K9" s="2" t="s">
        <v>3</v>
      </c>
      <c r="N9" s="1" t="s">
        <v>63</v>
      </c>
      <c r="O9" s="2">
        <v>845</v>
      </c>
      <c r="P9" s="2" t="s">
        <v>3</v>
      </c>
      <c r="S9" s="1" t="s">
        <v>74</v>
      </c>
      <c r="T9" s="2">
        <v>450</v>
      </c>
      <c r="U9" s="2" t="s">
        <v>80</v>
      </c>
    </row>
    <row r="10" spans="2:21" x14ac:dyDescent="0.3">
      <c r="C10" s="2"/>
      <c r="J10" s="2"/>
      <c r="O10" s="2"/>
      <c r="T10" s="2"/>
    </row>
    <row r="11" spans="2:21" x14ac:dyDescent="0.3">
      <c r="B11" s="1" t="s">
        <v>9</v>
      </c>
      <c r="C11" s="2">
        <v>3</v>
      </c>
      <c r="D11" s="2" t="s">
        <v>10</v>
      </c>
      <c r="I11" s="1" t="s">
        <v>56</v>
      </c>
      <c r="J11" s="2">
        <v>8800</v>
      </c>
      <c r="K11" s="2" t="s">
        <v>13</v>
      </c>
      <c r="N11" s="1" t="s">
        <v>68</v>
      </c>
      <c r="O11" s="2">
        <v>330</v>
      </c>
      <c r="P11" s="2" t="s">
        <v>3</v>
      </c>
      <c r="S11" s="1" t="s">
        <v>75</v>
      </c>
      <c r="T11" s="2">
        <v>0.8</v>
      </c>
    </row>
    <row r="12" spans="2:21" x14ac:dyDescent="0.3">
      <c r="C12" s="2"/>
      <c r="J12" s="2"/>
      <c r="O12" s="2"/>
      <c r="T12" s="2"/>
    </row>
    <row r="13" spans="2:21" x14ac:dyDescent="0.3">
      <c r="B13" s="4" t="s">
        <v>17</v>
      </c>
      <c r="C13" s="2">
        <v>0.5</v>
      </c>
      <c r="I13" s="1" t="s">
        <v>57</v>
      </c>
      <c r="J13" s="2">
        <v>600</v>
      </c>
      <c r="K13" s="2" t="s">
        <v>16</v>
      </c>
      <c r="N13" s="1" t="s">
        <v>69</v>
      </c>
      <c r="O13" s="2">
        <v>400</v>
      </c>
      <c r="P13" s="2" t="s">
        <v>3</v>
      </c>
      <c r="S13" s="1" t="s">
        <v>76</v>
      </c>
      <c r="T13" s="2">
        <v>0.8</v>
      </c>
    </row>
    <row r="14" spans="2:21" x14ac:dyDescent="0.3">
      <c r="C14" s="2"/>
      <c r="J14" s="2"/>
      <c r="O14" s="2"/>
      <c r="T14" s="2"/>
    </row>
    <row r="15" spans="2:21" x14ac:dyDescent="0.3">
      <c r="B15" s="1" t="s">
        <v>35</v>
      </c>
      <c r="C15" s="2">
        <v>230</v>
      </c>
      <c r="D15" s="2" t="s">
        <v>36</v>
      </c>
      <c r="J15" s="2"/>
      <c r="K15" s="2"/>
      <c r="N15" s="1" t="s">
        <v>70</v>
      </c>
      <c r="O15" s="2">
        <v>50</v>
      </c>
      <c r="P15" s="2" t="s">
        <v>3</v>
      </c>
      <c r="S15" s="1" t="s">
        <v>77</v>
      </c>
      <c r="T15" s="2">
        <v>0.8</v>
      </c>
    </row>
    <row r="16" spans="2:21" x14ac:dyDescent="0.3">
      <c r="C16" s="2"/>
      <c r="J16" s="2"/>
      <c r="O16" s="2"/>
      <c r="T16" s="2"/>
    </row>
    <row r="17" spans="2:20" x14ac:dyDescent="0.3">
      <c r="B17" s="1" t="s">
        <v>46</v>
      </c>
      <c r="C17" s="2">
        <v>50</v>
      </c>
      <c r="D17" s="2" t="s">
        <v>13</v>
      </c>
      <c r="J17" s="2"/>
      <c r="K17" s="2"/>
      <c r="N17" s="1" t="s">
        <v>71</v>
      </c>
      <c r="O17" s="2">
        <v>50</v>
      </c>
      <c r="P17" s="2" t="s">
        <v>3</v>
      </c>
      <c r="S17" s="1" t="s">
        <v>78</v>
      </c>
      <c r="T17" s="2">
        <v>0.8</v>
      </c>
    </row>
    <row r="18" spans="2:20" x14ac:dyDescent="0.3">
      <c r="J18" s="2"/>
      <c r="O18" s="2"/>
      <c r="T18" s="2"/>
    </row>
    <row r="19" spans="2:20" x14ac:dyDescent="0.3">
      <c r="B19" s="1" t="s">
        <v>85</v>
      </c>
      <c r="C19" s="2">
        <v>10</v>
      </c>
      <c r="D19" s="17" t="s">
        <v>86</v>
      </c>
      <c r="E19" s="17"/>
      <c r="I19" s="5" t="s">
        <v>59</v>
      </c>
      <c r="J19" s="2">
        <v>90</v>
      </c>
      <c r="K19" s="2" t="s">
        <v>58</v>
      </c>
      <c r="N19" s="1" t="s">
        <v>72</v>
      </c>
      <c r="O19" s="2">
        <v>1500</v>
      </c>
      <c r="P19" s="2" t="s">
        <v>3</v>
      </c>
      <c r="S19" s="1" t="s">
        <v>79</v>
      </c>
      <c r="T19" s="2">
        <v>0.8</v>
      </c>
    </row>
    <row r="34" spans="2:20" x14ac:dyDescent="0.3">
      <c r="B34" s="14" t="s">
        <v>7</v>
      </c>
      <c r="C34" s="14"/>
      <c r="D34" s="14"/>
      <c r="E34" s="14"/>
      <c r="F34" s="14"/>
      <c r="M34" s="14" t="s">
        <v>54</v>
      </c>
      <c r="N34" s="14"/>
      <c r="O34" s="14"/>
      <c r="P34" s="14"/>
      <c r="Q34" s="14"/>
      <c r="R34" s="14"/>
      <c r="S34" s="14"/>
    </row>
    <row r="38" spans="2:20" x14ac:dyDescent="0.3">
      <c r="G38" s="4" t="s">
        <v>6</v>
      </c>
      <c r="H38" s="6">
        <f>PI()*(C7/1000)*(C9/60)</f>
        <v>42.978034698659556</v>
      </c>
      <c r="I38" s="2" t="s">
        <v>12</v>
      </c>
      <c r="R38" s="1" t="s">
        <v>55</v>
      </c>
      <c r="S38" s="2">
        <f>C9*C7/J7</f>
        <v>4436.864864864865</v>
      </c>
      <c r="T38" s="2" t="s">
        <v>5</v>
      </c>
    </row>
    <row r="42" spans="2:20" x14ac:dyDescent="0.3">
      <c r="B42" s="14" t="s">
        <v>8</v>
      </c>
      <c r="C42" s="14"/>
      <c r="D42" s="14"/>
      <c r="E42" s="14"/>
    </row>
    <row r="45" spans="2:20" x14ac:dyDescent="0.3">
      <c r="G45" s="1" t="s">
        <v>11</v>
      </c>
      <c r="H45" s="2">
        <f xml:space="preserve"> C11*1000 / H38</f>
        <v>69.803098746475882</v>
      </c>
      <c r="I45" s="2" t="s">
        <v>13</v>
      </c>
    </row>
    <row r="49" spans="2:21" x14ac:dyDescent="0.3">
      <c r="B49" s="14" t="s">
        <v>14</v>
      </c>
      <c r="C49" s="14"/>
      <c r="D49" s="14"/>
      <c r="E49" s="14"/>
      <c r="F49" s="14"/>
      <c r="G49" s="14"/>
      <c r="H49" s="14"/>
      <c r="M49" s="14" t="s">
        <v>51</v>
      </c>
      <c r="N49" s="14"/>
      <c r="O49" s="14"/>
      <c r="P49" s="14"/>
      <c r="Q49" s="14"/>
      <c r="R49" s="14"/>
      <c r="S49" s="14"/>
      <c r="T49" s="2">
        <f>H45*(J7/2000)</f>
        <v>6.4567866340490188</v>
      </c>
      <c r="U49" s="2" t="s">
        <v>16</v>
      </c>
    </row>
    <row r="52" spans="2:21" x14ac:dyDescent="0.3">
      <c r="G52" s="1" t="s">
        <v>15</v>
      </c>
      <c r="H52" s="6">
        <f>H45*(C7/2000)</f>
        <v>10.016744670119289</v>
      </c>
      <c r="I52" s="2" t="s">
        <v>16</v>
      </c>
    </row>
    <row r="55" spans="2:21" x14ac:dyDescent="0.3">
      <c r="B55" s="1" t="s">
        <v>20</v>
      </c>
    </row>
    <row r="58" spans="2:21" x14ac:dyDescent="0.3">
      <c r="I58" s="1" t="s">
        <v>21</v>
      </c>
      <c r="J58" s="6">
        <f>(
 J9 - (PI()/2)*(MAX(C7,J7)+MIN(C7,J7))
 + SQRT(
     ( J9 - (PI()/2)*(MAX(C7,J7)+MIN(C7,J7)) )^2
     - 2*( MAX(C7,J7) - MIN(C7,J7) )^2
   )
 ) / 4</f>
        <v>1303.2942108365428</v>
      </c>
      <c r="K58" s="2" t="s">
        <v>3</v>
      </c>
    </row>
    <row r="61" spans="2:21" x14ac:dyDescent="0.3">
      <c r="B61" s="14" t="s">
        <v>22</v>
      </c>
      <c r="C61" s="14"/>
      <c r="D61" s="14"/>
      <c r="E61" s="14"/>
      <c r="F61" s="14"/>
    </row>
    <row r="64" spans="2:21" x14ac:dyDescent="0.3">
      <c r="I64" s="1" t="s">
        <v>23</v>
      </c>
      <c r="J64" s="7">
        <f>PI() - 2*ASIN( ( MAX(C7,J7) - MIN(C7,J7) ) / ( 2*J58 ) )</f>
        <v>3.0633094471468381</v>
      </c>
      <c r="K64" s="2" t="s">
        <v>24</v>
      </c>
    </row>
    <row r="67" spans="2:24" x14ac:dyDescent="0.3">
      <c r="B67" s="14" t="s">
        <v>25</v>
      </c>
      <c r="C67" s="14"/>
      <c r="D67" s="14"/>
      <c r="E67" s="14"/>
      <c r="F67" s="14"/>
    </row>
    <row r="70" spans="2:24" x14ac:dyDescent="0.3">
      <c r="I70" s="1" t="s">
        <v>26</v>
      </c>
      <c r="J70" s="7">
        <f>PI() + 2*ASIN( ( MAX(C7,J7) - MIN(C7,J7) ) / ( 2*J58 ) )</f>
        <v>3.2198758600327482</v>
      </c>
      <c r="K70" s="2" t="s">
        <v>24</v>
      </c>
    </row>
    <row r="73" spans="2:24" x14ac:dyDescent="0.3">
      <c r="B73" s="14" t="s">
        <v>27</v>
      </c>
      <c r="C73" s="14"/>
      <c r="D73" s="14"/>
      <c r="E73" s="14"/>
      <c r="F73" s="14"/>
      <c r="N73" s="14" t="s">
        <v>110</v>
      </c>
      <c r="O73" s="14"/>
      <c r="P73" s="14"/>
      <c r="Q73" s="14"/>
      <c r="R73" s="14"/>
      <c r="S73" s="14"/>
      <c r="T73" s="14"/>
      <c r="U73" s="14"/>
      <c r="V73" s="14"/>
    </row>
    <row r="76" spans="2:24" x14ac:dyDescent="0.3">
      <c r="C76" s="13"/>
      <c r="D76" s="13"/>
      <c r="E76" s="7"/>
      <c r="I76" s="1" t="s">
        <v>28</v>
      </c>
      <c r="J76" s="7">
        <f>J88/J82</f>
        <v>1.0156330480768407</v>
      </c>
      <c r="T76" s="1" t="s">
        <v>28</v>
      </c>
      <c r="U76" s="7">
        <f>EXP(C13*J64)</f>
        <v>4.6258249543809624</v>
      </c>
    </row>
    <row r="77" spans="2:24" x14ac:dyDescent="0.3">
      <c r="H77" s="13" t="s">
        <v>93</v>
      </c>
      <c r="I77" s="13"/>
      <c r="J77" s="7">
        <f>EXP(C13*J64)</f>
        <v>4.6258249543809624</v>
      </c>
    </row>
    <row r="79" spans="2:24" x14ac:dyDescent="0.3">
      <c r="B79" s="14" t="s">
        <v>29</v>
      </c>
      <c r="C79" s="14"/>
      <c r="D79" s="14"/>
      <c r="E79" s="14"/>
      <c r="F79" s="14"/>
      <c r="N79" s="14" t="s">
        <v>107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2" spans="2:24" x14ac:dyDescent="0.3">
      <c r="I82" s="1" t="s">
        <v>30</v>
      </c>
      <c r="J82" s="6">
        <f>J94-H45/2</f>
        <v>4465.0984506267623</v>
      </c>
      <c r="K82" s="2" t="s">
        <v>13</v>
      </c>
      <c r="U82" s="1" t="s">
        <v>30</v>
      </c>
      <c r="V82" s="6">
        <f>H45/(U76-1)</f>
        <v>19.251646073574275</v>
      </c>
      <c r="W82" s="2" t="s">
        <v>13</v>
      </c>
    </row>
    <row r="85" spans="2:24" x14ac:dyDescent="0.3">
      <c r="B85" s="14" t="s">
        <v>31</v>
      </c>
      <c r="C85" s="14"/>
      <c r="D85" s="14"/>
      <c r="E85" s="14"/>
      <c r="F85" s="14"/>
      <c r="N85" s="14" t="s">
        <v>108</v>
      </c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8" spans="2:24" x14ac:dyDescent="0.3">
      <c r="I88" s="1" t="s">
        <v>32</v>
      </c>
      <c r="J88" s="6">
        <f>J94+H45/2</f>
        <v>4534.9015493732377</v>
      </c>
      <c r="K88" s="2" t="s">
        <v>13</v>
      </c>
      <c r="U88" s="1" t="s">
        <v>32</v>
      </c>
      <c r="V88" s="6">
        <f>U76*V82</f>
        <v>89.054744820050161</v>
      </c>
      <c r="W88" s="2" t="s">
        <v>13</v>
      </c>
    </row>
    <row r="91" spans="2:24" x14ac:dyDescent="0.3">
      <c r="B91" s="14" t="s">
        <v>33</v>
      </c>
      <c r="C91" s="14"/>
      <c r="D91" s="14"/>
      <c r="E91" s="14"/>
      <c r="N91" s="14" t="s">
        <v>109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4" spans="2:24" x14ac:dyDescent="0.3">
      <c r="I94" s="1" t="s">
        <v>34</v>
      </c>
      <c r="J94" s="6">
        <v>4500</v>
      </c>
      <c r="K94" s="2" t="s">
        <v>13</v>
      </c>
      <c r="U94" s="1" t="s">
        <v>34</v>
      </c>
      <c r="V94" s="6">
        <f>(V88+V82)/2</f>
        <v>54.153195446812219</v>
      </c>
      <c r="W94" s="2" t="s">
        <v>13</v>
      </c>
    </row>
    <row r="97" spans="2:17" x14ac:dyDescent="0.3">
      <c r="B97" s="14" t="s">
        <v>37</v>
      </c>
      <c r="C97" s="14"/>
      <c r="D97" s="14"/>
      <c r="E97" s="14"/>
      <c r="F97" s="14"/>
      <c r="G97" s="14"/>
    </row>
    <row r="100" spans="2:17" x14ac:dyDescent="0.3">
      <c r="I100" s="1" t="s">
        <v>67</v>
      </c>
      <c r="J100" s="6">
        <f>J94/C15</f>
        <v>19.565217391304348</v>
      </c>
      <c r="K100" s="2" t="s">
        <v>3</v>
      </c>
    </row>
    <row r="103" spans="2:17" x14ac:dyDescent="0.3">
      <c r="B103" s="14" t="s">
        <v>41</v>
      </c>
      <c r="C103" s="14"/>
      <c r="D103" s="14"/>
      <c r="E103" s="14"/>
      <c r="F103" s="14"/>
      <c r="G103" s="14"/>
      <c r="H103" s="14"/>
      <c r="I103" s="14"/>
    </row>
    <row r="105" spans="2:17" x14ac:dyDescent="0.3">
      <c r="B105" s="14" t="s">
        <v>38</v>
      </c>
      <c r="C105" s="14"/>
      <c r="D105" s="14"/>
      <c r="E105" s="14"/>
      <c r="F105" s="14"/>
      <c r="N105" s="2" t="s">
        <v>42</v>
      </c>
      <c r="O105" s="2" t="s">
        <v>43</v>
      </c>
      <c r="P105" s="2" t="s">
        <v>44</v>
      </c>
      <c r="Q105" s="2" t="s">
        <v>45</v>
      </c>
    </row>
    <row r="106" spans="2:17" x14ac:dyDescent="0.3">
      <c r="N106" s="2">
        <v>0</v>
      </c>
      <c r="O106" s="8">
        <f>N106*$J$58</f>
        <v>0</v>
      </c>
      <c r="P106" s="8">
        <f>J58</f>
        <v>1303.2942108365428</v>
      </c>
      <c r="Q106" s="8">
        <f>IF(OR(O106=0,P106=0),$J$100,SQRT(2*$J$100*O106*P106/$J$58))</f>
        <v>19.565217391304348</v>
      </c>
    </row>
    <row r="107" spans="2:17" x14ac:dyDescent="0.3">
      <c r="B107" s="14" t="s">
        <v>39</v>
      </c>
      <c r="C107" s="14"/>
      <c r="D107" s="14"/>
      <c r="E107" s="14"/>
      <c r="F107" s="14"/>
      <c r="G107" s="14"/>
      <c r="H107" s="14"/>
      <c r="N107" s="2">
        <v>0.1</v>
      </c>
      <c r="O107" s="8">
        <f t="shared" ref="O107:O116" si="0">N107*$J$58</f>
        <v>130.3294210836543</v>
      </c>
      <c r="P107" s="8">
        <f t="shared" ref="P107:P116" si="1">$J$58 - O107</f>
        <v>1172.9647897528885</v>
      </c>
      <c r="Q107" s="8">
        <f t="shared" ref="Q107:Q116" si="2">IF(OR(O107=0,P107=0),$J$100,SQRT(2*$J$100*O107*P107/$J$58))</f>
        <v>67.748521908394224</v>
      </c>
    </row>
    <row r="108" spans="2:17" x14ac:dyDescent="0.3">
      <c r="N108" s="2">
        <v>0.2</v>
      </c>
      <c r="O108" s="8">
        <f t="shared" si="0"/>
        <v>260.65884216730859</v>
      </c>
      <c r="P108" s="8">
        <f t="shared" si="1"/>
        <v>1042.6353686692341</v>
      </c>
      <c r="Q108" s="8">
        <f t="shared" si="2"/>
        <v>90.331362544525632</v>
      </c>
    </row>
    <row r="109" spans="2:17" x14ac:dyDescent="0.3">
      <c r="B109" s="14" t="s">
        <v>40</v>
      </c>
      <c r="C109" s="14"/>
      <c r="D109" s="14"/>
      <c r="E109" s="14"/>
      <c r="F109" s="14"/>
      <c r="G109" s="14"/>
      <c r="H109" s="14"/>
      <c r="N109" s="2">
        <v>0.3</v>
      </c>
      <c r="O109" s="8">
        <f t="shared" si="0"/>
        <v>390.9882632509628</v>
      </c>
      <c r="P109" s="8">
        <f t="shared" si="1"/>
        <v>912.30594758558004</v>
      </c>
      <c r="Q109" s="8">
        <f t="shared" si="2"/>
        <v>103.48757662219687</v>
      </c>
    </row>
    <row r="110" spans="2:17" x14ac:dyDescent="0.3">
      <c r="N110" s="2">
        <v>0.4</v>
      </c>
      <c r="O110" s="8">
        <f t="shared" si="0"/>
        <v>521.31768433461718</v>
      </c>
      <c r="P110" s="8">
        <f t="shared" si="1"/>
        <v>781.9765265019256</v>
      </c>
      <c r="Q110" s="8">
        <f t="shared" si="2"/>
        <v>110.63287300222204</v>
      </c>
    </row>
    <row r="111" spans="2:17" x14ac:dyDescent="0.3">
      <c r="N111" s="2">
        <v>0.5</v>
      </c>
      <c r="O111" s="8">
        <f t="shared" si="0"/>
        <v>651.64710541827139</v>
      </c>
      <c r="P111" s="8">
        <f t="shared" si="1"/>
        <v>651.64710541827139</v>
      </c>
      <c r="Q111" s="8">
        <f t="shared" si="2"/>
        <v>112.91420318065704</v>
      </c>
    </row>
    <row r="112" spans="2:17" x14ac:dyDescent="0.3">
      <c r="N112" s="2">
        <v>0.6</v>
      </c>
      <c r="O112" s="8">
        <f t="shared" si="0"/>
        <v>781.9765265019256</v>
      </c>
      <c r="P112" s="8">
        <f t="shared" si="1"/>
        <v>521.31768433461718</v>
      </c>
      <c r="Q112" s="8">
        <f t="shared" si="2"/>
        <v>110.63287300222206</v>
      </c>
    </row>
    <row r="113" spans="2:17" x14ac:dyDescent="0.3">
      <c r="N113" s="2">
        <v>0.7</v>
      </c>
      <c r="O113" s="8">
        <f t="shared" si="0"/>
        <v>912.30594758557993</v>
      </c>
      <c r="P113" s="8">
        <f t="shared" si="1"/>
        <v>390.98826325096286</v>
      </c>
      <c r="Q113" s="8">
        <f t="shared" si="2"/>
        <v>103.48757662219687</v>
      </c>
    </row>
    <row r="114" spans="2:17" x14ac:dyDescent="0.3">
      <c r="N114" s="2">
        <v>0.8</v>
      </c>
      <c r="O114" s="8">
        <f t="shared" si="0"/>
        <v>1042.6353686692344</v>
      </c>
      <c r="P114" s="8">
        <f t="shared" si="1"/>
        <v>260.65884216730842</v>
      </c>
      <c r="Q114" s="8">
        <f t="shared" si="2"/>
        <v>90.331362544525604</v>
      </c>
    </row>
    <row r="115" spans="2:17" x14ac:dyDescent="0.3">
      <c r="N115" s="2">
        <v>0.9</v>
      </c>
      <c r="O115" s="8">
        <f t="shared" si="0"/>
        <v>1172.9647897528885</v>
      </c>
      <c r="P115" s="8">
        <f t="shared" si="1"/>
        <v>130.32942108365432</v>
      </c>
      <c r="Q115" s="8">
        <f t="shared" si="2"/>
        <v>67.748521908394238</v>
      </c>
    </row>
    <row r="116" spans="2:17" x14ac:dyDescent="0.3">
      <c r="N116" s="2">
        <v>1</v>
      </c>
      <c r="O116" s="8">
        <f t="shared" si="0"/>
        <v>1303.2942108365428</v>
      </c>
      <c r="P116" s="8">
        <f t="shared" si="1"/>
        <v>0</v>
      </c>
      <c r="Q116" s="8">
        <f t="shared" si="2"/>
        <v>19.565217391304348</v>
      </c>
    </row>
    <row r="119" spans="2:17" x14ac:dyDescent="0.3">
      <c r="B119" s="14" t="s">
        <v>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2" spans="2:17" x14ac:dyDescent="0.3">
      <c r="I122" s="1" t="s">
        <v>48</v>
      </c>
      <c r="J122" s="9">
        <f xml:space="preserve"> C17*J58/(4*J94)</f>
        <v>3.6202616967681744</v>
      </c>
      <c r="K122" s="2" t="s">
        <v>3</v>
      </c>
    </row>
    <row r="125" spans="2:17" x14ac:dyDescent="0.3">
      <c r="B125" s="14" t="s">
        <v>49</v>
      </c>
      <c r="C125" s="14"/>
      <c r="D125" s="14"/>
      <c r="E125" s="14"/>
      <c r="F125" s="14"/>
      <c r="G125" s="2">
        <v>30</v>
      </c>
      <c r="H125" s="2" t="s">
        <v>3</v>
      </c>
    </row>
    <row r="127" spans="2:17" x14ac:dyDescent="0.3">
      <c r="B127" s="14" t="s">
        <v>50</v>
      </c>
      <c r="C127" s="14"/>
      <c r="D127" s="14"/>
      <c r="E127" s="14"/>
      <c r="F127" s="14"/>
      <c r="G127" s="14"/>
      <c r="H127" s="6">
        <f xml:space="preserve"> C17*J58/(4*G125)</f>
        <v>543.03925451522616</v>
      </c>
      <c r="I127" s="2" t="s">
        <v>13</v>
      </c>
    </row>
    <row r="129" spans="2:18" x14ac:dyDescent="0.3">
      <c r="B129" s="14" t="s">
        <v>52</v>
      </c>
      <c r="C129" s="14"/>
      <c r="D129" s="14"/>
      <c r="E129" s="14"/>
      <c r="F129" s="14"/>
      <c r="G129" s="14"/>
      <c r="H129" s="14"/>
      <c r="I129" s="14"/>
    </row>
    <row r="132" spans="2:18" x14ac:dyDescent="0.3">
      <c r="I132" s="1" t="s">
        <v>53</v>
      </c>
      <c r="J132" s="6">
        <f>SQRT(
  J88^2 +
  J82^2 -
  2*J88*J82*COS(
    IF(J7=MAX(C7,J7), J70, J64)
  )
)</f>
        <v>8993.1070020266397</v>
      </c>
      <c r="K132" s="2" t="s">
        <v>13</v>
      </c>
    </row>
    <row r="136" spans="2:18" ht="20.25" customHeight="1" x14ac:dyDescent="0.3">
      <c r="B136" s="15" t="s">
        <v>60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40" spans="2:18" x14ac:dyDescent="0.3">
      <c r="D140" s="10"/>
    </row>
    <row r="141" spans="2:18" x14ac:dyDescent="0.3">
      <c r="K141" s="1" t="s">
        <v>61</v>
      </c>
      <c r="L141" s="6">
        <f>IF(
  (
    -(
      J132*((O11-O13)/J58)
      *(O15+O17)
      *(1-(O15+O17)/O19)
      /1000
     )
    +SQRT(
      (
        SQRT(
          (
            J11*SQRT(1-((O11-O13)/J58)^2)
            *(O15+O17)
            *((O15+O17)+O19)
            /O19
            /1000
          )^2
          +
          (
            J11*((O11-O13)/J58)
            *(O15+O17)
            *(1-(O15+O17)/O19)
            /1000
          )^2
        )
        +
        (T7*T11*T13*T15*T17/T19)*SQRT(3)/(2*T9)
        *(J13-T49)
      )^2
      -
      (
        J132*SQRT(1-((O11-O13)/J58)^2)
        *(O15+O17)
        *((O15+O17)+O19)
        /O19
        /1000
      )^2
    )
  )
  /
  (
    ((O15+O17)*(1-O17/O19)-O15)/1000
  )
  &gt; 0,
  (
    -(
      J132*((O11-O13)/J58)
      *(O15+O17)
      *(1-(O15+O17)/O19)
      /1000
     )
    +SQRT(
      (
        SQRT(
          (
            J11*SQRT(1-((O11-O13)/J58)^2)
            *(O15+O17)
            *((O15+O17)+O19)
            /O19
            /1000
          )^2
          +
          (
            J11*((O11-O13)/J58)
            *(O15+O17)
            *(1-(O15+O17)/O19)
            /1000
          )^2
        )
        +
        (T7*T11*T13*T15*T17/T19)*SQRT(3)/(2*T9)
        *(J13-T49)
      )^2
      -
      (
        J132*SQRT(1-((O11-O13)/J58)^2)
        *(O15+O17)
        *((O15+O17)+O19)
        /O19
        /1000
      )^2
    )
  )
  /
  (
    ((O15+O17)*(1-O17/O19)-O15)/1000
  ),
  (
    -(
      J132*((O11-O13)/J58)
      *(O15+O17)
      *(1-(O15+O17)/O19)
      /1000
     )
    -SQRT(
      (
        SQRT(
          (
            J11*SQRT(1-((O11-O13)/J58)^2)
            *(O15+O17)
            *((O15+O17)+O19)
            /O19
            /1000
          )^2
          +
          (
            J11*((O11-O13)/J58)
            *(O15+O17)
            *(1-(O15+O17)/O19)
            /1000
          )^2
        )
        +
        (T7*T11*T13*T15*T17/T19)*SQRT(3)/(2*T9)
        *(J13-T49)
      )^2
      -
      (
        J132*SQRT(1-((O11-O13)/J58)^2)
        *(O15+O17)
        *((O15+O17)+O19)
        /O19
        /1000
      )^2
    )
  )
  /
  (
    ((O15+O17)*(1-O17/O19)-O15)/1000
  )
)</f>
        <v>16509.339928904024</v>
      </c>
      <c r="M141" s="2" t="s">
        <v>13</v>
      </c>
    </row>
    <row r="165" spans="2:21" x14ac:dyDescent="0.3">
      <c r="B165" s="14" t="s">
        <v>65</v>
      </c>
      <c r="C165" s="14"/>
      <c r="D165" s="14"/>
      <c r="E165" s="14"/>
      <c r="F165" s="14"/>
      <c r="G165" s="14"/>
      <c r="N165" s="14" t="s">
        <v>90</v>
      </c>
      <c r="O165" s="14"/>
      <c r="P165" s="14"/>
      <c r="Q165" s="14"/>
      <c r="R165" s="11"/>
    </row>
    <row r="168" spans="2:21" x14ac:dyDescent="0.3">
      <c r="S168" s="1" t="s">
        <v>91</v>
      </c>
      <c r="T168" s="9">
        <f>10^7 / (S38 * 60)</f>
        <v>37.564061954305856</v>
      </c>
      <c r="U168" s="2" t="s">
        <v>92</v>
      </c>
    </row>
    <row r="169" spans="2:21" x14ac:dyDescent="0.3">
      <c r="I169" s="1" t="s">
        <v>66</v>
      </c>
      <c r="J169" s="6">
        <f>L141*0.1*O7/O9</f>
        <v>566.59273128783047</v>
      </c>
      <c r="K169" s="2" t="s">
        <v>64</v>
      </c>
    </row>
    <row r="174" spans="2:21" x14ac:dyDescent="0.3">
      <c r="N174" s="14" t="s">
        <v>89</v>
      </c>
      <c r="O174" s="14"/>
      <c r="P174" s="14"/>
      <c r="Q174" s="14"/>
      <c r="R174" s="14"/>
    </row>
    <row r="178" spans="2:21" x14ac:dyDescent="0.3">
      <c r="S178" s="1" t="s">
        <v>88</v>
      </c>
      <c r="T178" s="12">
        <f>C19*C11*T168</f>
        <v>1126.9218586291756</v>
      </c>
      <c r="U178" s="2" t="s">
        <v>87</v>
      </c>
    </row>
    <row r="182" spans="2:21" x14ac:dyDescent="0.3">
      <c r="B182" s="14" t="s">
        <v>81</v>
      </c>
      <c r="C182" s="14"/>
      <c r="D182" s="14"/>
      <c r="E182" s="14"/>
      <c r="F182" s="14"/>
    </row>
    <row r="184" spans="2:21" x14ac:dyDescent="0.3">
      <c r="C184" s="14" t="s">
        <v>96</v>
      </c>
      <c r="D184" s="14"/>
      <c r="E184" s="14"/>
      <c r="F184" s="14"/>
      <c r="G184" s="14"/>
      <c r="H184" s="11"/>
    </row>
    <row r="187" spans="2:21" x14ac:dyDescent="0.3">
      <c r="D187" s="1" t="s">
        <v>82</v>
      </c>
      <c r="E187" s="2">
        <v>0.5</v>
      </c>
      <c r="H187" s="13" t="s">
        <v>94</v>
      </c>
      <c r="I187" s="13"/>
      <c r="J187" s="2">
        <v>7500</v>
      </c>
      <c r="K187" s="2" t="s">
        <v>13</v>
      </c>
      <c r="N187" s="1" t="s">
        <v>105</v>
      </c>
      <c r="O187" s="2">
        <v>2011</v>
      </c>
      <c r="P187" s="2" t="s">
        <v>87</v>
      </c>
    </row>
    <row r="189" spans="2:21" x14ac:dyDescent="0.3">
      <c r="D189" s="1" t="s">
        <v>83</v>
      </c>
      <c r="E189" s="2">
        <v>0.5</v>
      </c>
      <c r="N189" s="1" t="s">
        <v>106</v>
      </c>
      <c r="O189" s="2">
        <v>25700</v>
      </c>
      <c r="P189" s="2" t="s">
        <v>13</v>
      </c>
    </row>
    <row r="191" spans="2:21" x14ac:dyDescent="0.3">
      <c r="C191" s="13" t="s">
        <v>98</v>
      </c>
      <c r="D191" s="13"/>
      <c r="E191" s="2">
        <v>500</v>
      </c>
      <c r="F191" s="2" t="s">
        <v>5</v>
      </c>
      <c r="H191" s="13" t="s">
        <v>102</v>
      </c>
      <c r="I191" s="13"/>
      <c r="J191" s="2">
        <v>185</v>
      </c>
      <c r="K191" s="2" t="s">
        <v>3</v>
      </c>
    </row>
    <row r="193" spans="3:11" x14ac:dyDescent="0.3">
      <c r="C193" s="13" t="s">
        <v>97</v>
      </c>
      <c r="D193" s="13"/>
      <c r="E193" s="2">
        <v>4000</v>
      </c>
      <c r="F193" s="2" t="s">
        <v>5</v>
      </c>
      <c r="H193" s="13" t="s">
        <v>101</v>
      </c>
      <c r="I193" s="13"/>
      <c r="J193" s="2">
        <v>475</v>
      </c>
      <c r="K193" s="2" t="s">
        <v>3</v>
      </c>
    </row>
    <row r="195" spans="3:11" x14ac:dyDescent="0.3">
      <c r="C195" s="13" t="s">
        <v>100</v>
      </c>
      <c r="D195" s="13"/>
      <c r="E195" s="2">
        <v>185</v>
      </c>
      <c r="F195" s="2" t="s">
        <v>3</v>
      </c>
      <c r="H195" s="13" t="s">
        <v>104</v>
      </c>
      <c r="I195" s="13"/>
      <c r="J195" s="2">
        <v>1</v>
      </c>
      <c r="K195" s="2" t="s">
        <v>13</v>
      </c>
    </row>
    <row r="197" spans="3:11" x14ac:dyDescent="0.3">
      <c r="C197" s="13" t="s">
        <v>99</v>
      </c>
      <c r="D197" s="13"/>
      <c r="E197" s="2">
        <v>475</v>
      </c>
      <c r="F197" s="2" t="s">
        <v>3</v>
      </c>
      <c r="H197" s="13" t="s">
        <v>103</v>
      </c>
      <c r="I197" s="13"/>
      <c r="J197" s="2">
        <v>4000</v>
      </c>
      <c r="K197" s="2" t="s">
        <v>13</v>
      </c>
    </row>
    <row r="201" spans="3:11" x14ac:dyDescent="0.3">
      <c r="C201" s="14" t="s">
        <v>95</v>
      </c>
      <c r="D201" s="14"/>
      <c r="E201" s="14"/>
      <c r="F201" s="14"/>
    </row>
    <row r="204" spans="3:11" x14ac:dyDescent="0.3">
      <c r="I204" s="1" t="s">
        <v>84</v>
      </c>
      <c r="J204" s="6">
        <f>E187*(T178/O187)+E189*(L141/O189)</f>
        <v>0.60138280666253707</v>
      </c>
    </row>
  </sheetData>
  <scenarios current="1" show="1">
    <scenario name="Решение 1" count="4" user="Федор" comment="Автор: Федор , 11/29/2025">
      <inputCells r="C7" val="475"/>
      <inputCells r="J7" val="185"/>
      <inputCells r="C9" val="4000"/>
      <inputCells r="J94" val="4000" numFmtId="2"/>
    </scenario>
    <scenario name="Исходные данные" count="4" user="Федор" comment="Автор: Федор , 29.11.2025">
      <inputCells r="C7" val="230"/>
      <inputCells r="J7" val="185"/>
      <inputCells r="C9" val="2000"/>
      <inputCells r="J94" val="100" numFmtId="2"/>
    </scenario>
    <scenario name="Решение 2" count="4" user="Федор" comment="Автор: Федор , 11/29/2025">
      <inputCells r="C7" val="475"/>
      <inputCells r="J7" val="185"/>
      <inputCells r="C9" val="4000"/>
      <inputCells r="J94" val="4000" numFmtId="2"/>
    </scenario>
    <scenario name="Решение 3" count="4" user="Федор" comment="Автор: Федор , 11/29/2025">
      <inputCells r="C7" val="475"/>
      <inputCells r="J7" val="185"/>
      <inputCells r="C9" val="4000"/>
      <inputCells r="J94" val="4000" numFmtId="2"/>
    </scenario>
    <scenario name="Минимальная сила F" count="4" user="Федор" comment="Автор: Федор , 11/29/2025">
      <inputCells r="C7" val="185"/>
      <inputCells r="J7" val="475"/>
      <inputCells r="C9" val="500"/>
      <inputCells r="J94" val="4000" numFmtId="2"/>
    </scenario>
  </scenarios>
  <mergeCells count="45">
    <mergeCell ref="N79:X79"/>
    <mergeCell ref="N85:X85"/>
    <mergeCell ref="N91:X91"/>
    <mergeCell ref="N73:V73"/>
    <mergeCell ref="J2:O2"/>
    <mergeCell ref="B5:D5"/>
    <mergeCell ref="B34:F34"/>
    <mergeCell ref="B42:E42"/>
    <mergeCell ref="B49:H49"/>
    <mergeCell ref="M34:S34"/>
    <mergeCell ref="M49:S49"/>
    <mergeCell ref="D19:E19"/>
    <mergeCell ref="N174:R174"/>
    <mergeCell ref="N165:Q165"/>
    <mergeCell ref="C76:D76"/>
    <mergeCell ref="B119:N119"/>
    <mergeCell ref="B91:E91"/>
    <mergeCell ref="B165:G165"/>
    <mergeCell ref="B125:F125"/>
    <mergeCell ref="B127:G127"/>
    <mergeCell ref="B129:I129"/>
    <mergeCell ref="B97:G97"/>
    <mergeCell ref="B103:I103"/>
    <mergeCell ref="B105:F105"/>
    <mergeCell ref="B107:H107"/>
    <mergeCell ref="B136:R136"/>
    <mergeCell ref="B109:H109"/>
    <mergeCell ref="H77:I77"/>
    <mergeCell ref="B61:F61"/>
    <mergeCell ref="B67:F67"/>
    <mergeCell ref="B73:F73"/>
    <mergeCell ref="B79:F79"/>
    <mergeCell ref="B85:F85"/>
    <mergeCell ref="C201:F201"/>
    <mergeCell ref="C184:G184"/>
    <mergeCell ref="C191:D191"/>
    <mergeCell ref="C193:D193"/>
    <mergeCell ref="B182:F182"/>
    <mergeCell ref="C195:D195"/>
    <mergeCell ref="C197:D197"/>
    <mergeCell ref="H191:I191"/>
    <mergeCell ref="H193:I193"/>
    <mergeCell ref="H195:I195"/>
    <mergeCell ref="H197:I197"/>
    <mergeCell ref="H187:I187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</dc:creator>
  <cp:lastModifiedBy>Федор Жигайлов</cp:lastModifiedBy>
  <dcterms:created xsi:type="dcterms:W3CDTF">2015-06-05T18:19:34Z</dcterms:created>
  <dcterms:modified xsi:type="dcterms:W3CDTF">2026-01-28T20:27:39Z</dcterms:modified>
</cp:coreProperties>
</file>